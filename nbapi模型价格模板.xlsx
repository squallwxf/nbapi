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 web\"/>
    </mc:Choice>
  </mc:AlternateContent>
  <bookViews>
    <workbookView windowHeight="17230"/>
  </bookViews>
  <sheets>
    <sheet name="价格模板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<sst xmlns="http://schemas.openxmlformats.org/spreadsheetml/2006/main" count="469" uniqueCount="94">
  <si>
    <t>NBAPI 模型价格模板</t>
  </si>
  <si>
    <t>黄色列为以后可直接修改的 NBAPI 客户价格；初始价格 = Krapi 参考价 × 2，单位为美元。</t>
  </si>
  <si>
    <t>模型名称</t>
  </si>
  <si>
    <t>供应商</t>
  </si>
  <si>
    <t>模型类型</t>
  </si>
  <si>
    <t>计费方式</t>
  </si>
  <si>
    <t>Krapi按次参考价</t>
  </si>
  <si>
    <t>Krapi输入价/1M Token</t>
  </si>
  <si>
    <t>Krapi输出价/1M Token</t>
  </si>
  <si>
    <t>Krapi缓存读/1M</t>
  </si>
  <si>
    <t>Krapi缓存写/1M</t>
  </si>
  <si>
    <t>NBAPI按次价格</t>
  </si>
  <si>
    <t>NBAPI输入价/1M Token</t>
  </si>
  <si>
    <t>NBAPI输出价/1M Token</t>
  </si>
  <si>
    <t>备注</t>
  </si>
  <si>
    <t>T香蕉2</t>
  </si>
  <si>
    <t>Google</t>
  </si>
  <si>
    <t>图片生成</t>
  </si>
  <si>
    <t>按次</t>
  </si>
  <si>
    <t/>
  </si>
  <si>
    <t>Krapi 模型广场</t>
  </si>
  <si>
    <t>T香蕉pro</t>
  </si>
  <si>
    <t>gpt-5.5</t>
  </si>
  <si>
    <t>OpenAI</t>
  </si>
  <si>
    <t>对话模型</t>
  </si>
  <si>
    <t>按1M Token</t>
  </si>
  <si>
    <t>gpt-5.6-sol</t>
  </si>
  <si>
    <t>gpt-5.6-terra</t>
  </si>
  <si>
    <t>gpt-image-2</t>
  </si>
  <si>
    <t>claude-fable-5</t>
  </si>
  <si>
    <t>Anthropic</t>
  </si>
  <si>
    <t>claude-opus-4-6</t>
  </si>
  <si>
    <t>claude-opus-4-8</t>
  </si>
  <si>
    <t>claude-sonnet-4-6</t>
  </si>
  <si>
    <t>gemini-3.1-flash-lite-preview</t>
  </si>
  <si>
    <t>gemini-3.1-pro-preview</t>
  </si>
  <si>
    <t>ky-fast-720p</t>
  </si>
  <si>
    <t>Kling</t>
  </si>
  <si>
    <t>视频生成</t>
  </si>
  <si>
    <t>ky-pro-720p</t>
  </si>
  <si>
    <t>grok-video-480p</t>
  </si>
  <si>
    <t>Grok</t>
  </si>
  <si>
    <t>项目现有价格，待用 Krapi 页面复核</t>
  </si>
  <si>
    <t>grok-video-720p</t>
  </si>
  <si>
    <t>grok-imagine-video-1.5-480p</t>
  </si>
  <si>
    <t>grok-imagine-video-1.5-720p</t>
  </si>
  <si>
    <t>omni-flash</t>
  </si>
  <si>
    <t>Omni</t>
  </si>
  <si>
    <t>omni-flash-1080p</t>
  </si>
  <si>
    <t>omni-flash-4k</t>
  </si>
  <si>
    <t>omni-flash-components</t>
  </si>
  <si>
    <t>参考图生视频</t>
  </si>
  <si>
    <t>omni-flash-components-1080p</t>
  </si>
  <si>
    <t>omni-flash-components-4k</t>
  </si>
  <si>
    <t>omni-flash-edit</t>
  </si>
  <si>
    <t>视频编辑</t>
  </si>
  <si>
    <t>omni-flash-edit-1080p</t>
  </si>
  <si>
    <t>omni-flash-edit-4k</t>
  </si>
  <si>
    <t>sora-v3-fast</t>
  </si>
  <si>
    <t>Sora / Veo</t>
  </si>
  <si>
    <t>文生视频</t>
  </si>
  <si>
    <t>sora-v3-fast-1080p</t>
  </si>
  <si>
    <t>sora-v3-pro</t>
  </si>
  <si>
    <t>sora-v3-pro-1080p</t>
  </si>
  <si>
    <t>sora-v4-480p</t>
  </si>
  <si>
    <t>sora-v4-720p</t>
  </si>
  <si>
    <t>sora-v4-1080p</t>
  </si>
  <si>
    <t>veo-3.1-lite-720</t>
  </si>
  <si>
    <t>veo-3.1-lite-1080</t>
  </si>
  <si>
    <t>veo-3.1-lite-4k</t>
  </si>
  <si>
    <t>veo-3.1-fast-720</t>
  </si>
  <si>
    <t>veo-3.1-fast-1080</t>
  </si>
  <si>
    <t>veo-3.1-fast-4k</t>
  </si>
  <si>
    <t>veo-3.1-quality-720</t>
  </si>
  <si>
    <t>veo-3.1-quality-1080</t>
  </si>
  <si>
    <t>veo-3.1-quality-4k</t>
  </si>
  <si>
    <t>NBAPI 价格模板使用说明</t>
  </si>
  <si>
    <t>项目</t>
  </si>
  <si>
    <t>说明</t>
  </si>
  <si>
    <t>模型数量</t>
  </si>
  <si>
    <t>43 个，和当前网站模型目录一致</t>
  </si>
  <si>
    <t>价格单位</t>
  </si>
  <si>
    <t>美元 USD</t>
  </si>
  <si>
    <t>按次模型</t>
  </si>
  <si>
    <t>修改“NBAPI按次价格”列；例如图片、视频模型每成功调用一次扣一次</t>
  </si>
  <si>
    <t>按 Token 模型</t>
  </si>
  <si>
    <t>修改“NBAPI输入价/1M Token”和“NBAPI输出价/1M Token”列</t>
  </si>
  <si>
    <t>初始价格</t>
  </si>
  <si>
    <t>Krapi 模型广场参考价格 × 2；黄色单元格是可修改的客户价格</t>
  </si>
  <si>
    <t>提交修改</t>
  </si>
  <si>
    <t>只需保存并把本 Excel 发回，我会按黄色列中的价格同步到网站</t>
  </si>
  <si>
    <t>参考来源：</t>
  </si>
  <si>
    <t>https://ai.krapi.cn/console</t>
  </si>
  <si>
    <t>备注：截图未展示的 Grok 和 Veo quality 模型，暂按项目现有价格列出，并在备注中标记为“待用 Krapi 页面复核”。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</si>
</sst>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0.0000"/>
  </numFmts>
  <fonts count="30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15E59"/>
      <name val="Carlito"/>
      <charset val="134"/>
    </font>
    <font>
      <sz val="11"/>
      <color rgb="FF374151"/>
      <name val="Carlito"/>
      <charset val="134"/>
    </font>
    <font>
      <sz val="11"/>
      <color rgb="FF4B5563"/>
      <name val="Carlito"/>
      <charset val="134"/>
    </font>
    <font>
      <i/>
      <sz val="11"/>
      <color rgb="FF115E59"/>
      <name val="Carlito"/>
      <charset val="134"/>
    </font>
    <font>
      <sz val="11"/>
      <color rgb="FF1F2937"/>
      <name val="Carlito"/>
      <charset val="134"/>
    </font>
    <font>
      <b/>
      <sz val="11"/>
      <color rgb="FF7C2D12"/>
      <name val="Carlito"/>
      <charset val="134"/>
    </font>
    <font>
      <i/>
      <sz val="10"/>
      <color rgb="FF4B556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64E63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center"/>
    </xf>
    <xf numFmtId="0" fontId="0" fillId="0" borderId="2" xfId="49" applyNumberFormat="1" applyFont="1" applyFill="1" applyBorder="1"/>
    <xf numFmtId="0" fontId="2" fillId="3" borderId="2" xfId="49" applyNumberFormat="1" applyFont="1" applyFill="1" applyBorder="1"/>
    <xf numFmtId="0" fontId="3" fillId="4" borderId="2" xfId="49" applyNumberFormat="1" applyFont="1" applyFill="1" applyBorder="1"/>
    <xf numFmtId="0" fontId="4" fillId="0" borderId="2" xfId="49" applyNumberFormat="1" applyFont="1" applyFill="1" applyBorder="1" applyAlignment="1">
      <alignment wrapText="1"/>
    </xf>
    <xf numFmtId="0" fontId="5" fillId="5" borderId="2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6" fillId="4" borderId="0" xfId="49" applyNumberFormat="1" applyFont="1" applyFill="1" applyBorder="1" applyAlignment="1">
      <alignment wrapText="1"/>
    </xf>
    <xf numFmtId="0" fontId="2" fillId="3" borderId="1" xfId="49" applyNumberFormat="1" applyFont="1" applyFill="1" applyBorder="1" applyAlignment="1">
      <alignment horizontal="center" vertical="center" wrapText="1"/>
    </xf>
    <xf numFmtId="0" fontId="7" fillId="0" borderId="2" xfId="49" applyNumberFormat="1" applyFont="1" applyFill="1" applyBorder="1"/>
    <xf numFmtId="176" fontId="4" fillId="5" borderId="2" xfId="49" applyNumberFormat="1" applyFont="1" applyFill="1" applyBorder="1"/>
    <xf numFmtId="176" fontId="8" fillId="6" borderId="2" xfId="49" applyNumberFormat="1" applyFont="1" applyFill="1" applyBorder="1"/>
    <xf numFmtId="0" fontId="9" fillId="0" borderId="2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bapiPricingTable" displayName="NbapiPricingTable" ref="A4:M47" totalsRowShown="0">
  <tableColumns count="13">
    <tableColumn id="1" name="模型名称"/>
    <tableColumn id="2" name="供应商"/>
    <tableColumn id="3" name="模型类型"/>
    <tableColumn id="4" name="计费方式"/>
    <tableColumn id="5" name="Krapi按次参考价"/>
    <tableColumn id="6" name="Krapi输入价/1M Token"/>
    <tableColumn id="7" name="Krapi输出价/1M Token"/>
    <tableColumn id="8" name="Krapi缓存读/1M"/>
    <tableColumn id="9" name="Krapi缓存写/1M"/>
    <tableColumn id="10" name="NBAPI按次价格"/>
    <tableColumn id="11" name="NBAPI输入价/1M Token"/>
    <tableColumn id="12" name="NBAPI输出价/1M Token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showGridLines="0" tabSelected="1" workbookViewId="0">
      <selection activeCell="K25" sqref="K25"/>
    </sheetView>
  </sheetViews>
  <sheetFormatPr defaultColWidth="9" defaultRowHeight="14"/>
  <cols>
    <col min="1" max="1" width="31" customWidth="1"/>
    <col min="2" max="2" width="15" customWidth="1"/>
    <col min="3" max="4" width="16" customWidth="1"/>
    <col min="5" max="12" width="18" customWidth="1"/>
    <col min="13" max="13" width="30" customWidth="1"/>
  </cols>
  <sheetData>
    <row r="1" ht="30" customHeight="1" spans="1:1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28" customHeight="1" spans="1:1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ht="42" customHeight="1" spans="1:1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</row>
    <row r="5" ht="23" customHeight="1" spans="1:13">
      <c r="A5" s="10" t="s">
        <v>15</v>
      </c>
      <c r="B5" s="10" t="s">
        <v>16</v>
      </c>
      <c r="C5" s="10" t="s">
        <v>17</v>
      </c>
      <c r="D5" s="10" t="s">
        <v>18</v>
      </c>
      <c r="E5" s="11">
        <v>0.12</v>
      </c>
      <c r="F5" s="11" t="s">
        <v>19</v>
      </c>
      <c r="G5" s="11" t="s">
        <v>19</v>
      </c>
      <c r="H5" s="11" t="s">
        <v>19</v>
      </c>
      <c r="I5" s="11" t="s">
        <v>19</v>
      </c>
      <c r="J5" s="12">
        <f>E5*2</f>
        <v>0.24</v>
      </c>
      <c r="K5" s="12" t="s">
        <v>19</v>
      </c>
      <c r="L5" s="12" t="s">
        <v>19</v>
      </c>
      <c r="M5" s="13" t="s">
        <v>20</v>
      </c>
    </row>
    <row r="6" ht="23" customHeight="1" spans="1:13">
      <c r="A6" s="10" t="s">
        <v>21</v>
      </c>
      <c r="B6" s="10" t="s">
        <v>16</v>
      </c>
      <c r="C6" s="10" t="s">
        <v>17</v>
      </c>
      <c r="D6" s="10" t="s">
        <v>18</v>
      </c>
      <c r="E6" s="11">
        <v>0.18</v>
      </c>
      <c r="F6" s="11" t="s">
        <v>19</v>
      </c>
      <c r="G6" s="11" t="s">
        <v>19</v>
      </c>
      <c r="H6" s="11" t="s">
        <v>19</v>
      </c>
      <c r="I6" s="11" t="s">
        <v>19</v>
      </c>
      <c r="J6" s="12">
        <f>E6*2</f>
        <v>0.36</v>
      </c>
      <c r="K6" s="12" t="s">
        <v>19</v>
      </c>
      <c r="L6" s="12" t="s">
        <v>19</v>
      </c>
      <c r="M6" s="13" t="s">
        <v>20</v>
      </c>
    </row>
    <row r="7" ht="23" customHeight="1" spans="1:13">
      <c r="A7" s="10" t="s">
        <v>22</v>
      </c>
      <c r="B7" s="10" t="s">
        <v>23</v>
      </c>
      <c r="C7" s="10" t="s">
        <v>24</v>
      </c>
      <c r="D7" s="10" t="s">
        <v>25</v>
      </c>
      <c r="E7" s="11" t="s">
        <v>19</v>
      </c>
      <c r="F7" s="11">
        <v>0.975</v>
      </c>
      <c r="G7" s="11">
        <v>5.85</v>
      </c>
      <c r="H7" s="11">
        <v>0.098</v>
      </c>
      <c r="I7" s="11">
        <v>0</v>
      </c>
      <c r="J7" s="12" t="s">
        <v>19</v>
      </c>
      <c r="K7" s="12">
        <f>F7*2</f>
        <v>1.95</v>
      </c>
      <c r="L7" s="12">
        <f>G7*2</f>
        <v>11.7</v>
      </c>
      <c r="M7" s="13" t="s">
        <v>20</v>
      </c>
    </row>
    <row r="8" ht="23" customHeight="1" spans="1:13">
      <c r="A8" s="10" t="s">
        <v>26</v>
      </c>
      <c r="B8" s="10" t="s">
        <v>23</v>
      </c>
      <c r="C8" s="10" t="s">
        <v>24</v>
      </c>
      <c r="D8" s="10" t="s">
        <v>25</v>
      </c>
      <c r="E8" s="11" t="s">
        <v>19</v>
      </c>
      <c r="F8" s="11">
        <v>0.975</v>
      </c>
      <c r="G8" s="11">
        <v>5.85</v>
      </c>
      <c r="H8" s="11">
        <v>0.098</v>
      </c>
      <c r="I8" s="11">
        <v>0</v>
      </c>
      <c r="J8" s="12" t="s">
        <v>19</v>
      </c>
      <c r="K8" s="12">
        <f>F8*2</f>
        <v>1.95</v>
      </c>
      <c r="L8" s="12">
        <f>G8*2</f>
        <v>11.7</v>
      </c>
      <c r="M8" s="13" t="s">
        <v>20</v>
      </c>
    </row>
    <row r="9" ht="23" customHeight="1" spans="1:13">
      <c r="A9" s="10" t="s">
        <v>27</v>
      </c>
      <c r="B9" s="10" t="s">
        <v>23</v>
      </c>
      <c r="C9" s="10" t="s">
        <v>24</v>
      </c>
      <c r="D9" s="10" t="s">
        <v>25</v>
      </c>
      <c r="E9" s="11" t="s">
        <v>19</v>
      </c>
      <c r="F9" s="11">
        <v>0.39</v>
      </c>
      <c r="G9" s="11">
        <v>3.12</v>
      </c>
      <c r="H9" s="11">
        <v>0.039</v>
      </c>
      <c r="I9" s="11">
        <v>0</v>
      </c>
      <c r="J9" s="12" t="s">
        <v>19</v>
      </c>
      <c r="K9" s="12">
        <f>F9*2</f>
        <v>0.78</v>
      </c>
      <c r="L9" s="12">
        <f>G9*2</f>
        <v>6.24</v>
      </c>
      <c r="M9" s="13" t="s">
        <v>20</v>
      </c>
    </row>
    <row r="10" ht="23" customHeight="1" spans="1:13">
      <c r="A10" s="10" t="s">
        <v>28</v>
      </c>
      <c r="B10" s="10" t="s">
        <v>23</v>
      </c>
      <c r="C10" s="10" t="s">
        <v>17</v>
      </c>
      <c r="D10" s="10" t="s">
        <v>18</v>
      </c>
      <c r="E10" s="11">
        <v>0.11</v>
      </c>
      <c r="F10" s="11" t="s">
        <v>19</v>
      </c>
      <c r="G10" s="11" t="s">
        <v>19</v>
      </c>
      <c r="H10" s="11" t="s">
        <v>19</v>
      </c>
      <c r="I10" s="11" t="s">
        <v>19</v>
      </c>
      <c r="J10" s="12">
        <f>E10*2</f>
        <v>0.22</v>
      </c>
      <c r="K10" s="12" t="s">
        <v>19</v>
      </c>
      <c r="L10" s="12" t="s">
        <v>19</v>
      </c>
      <c r="M10" s="13" t="s">
        <v>20</v>
      </c>
    </row>
    <row r="11" ht="23" customHeight="1" spans="1:13">
      <c r="A11" s="10" t="s">
        <v>29</v>
      </c>
      <c r="B11" s="10" t="s">
        <v>30</v>
      </c>
      <c r="C11" s="10" t="s">
        <v>24</v>
      </c>
      <c r="D11" s="10" t="s">
        <v>25</v>
      </c>
      <c r="E11" s="11" t="s">
        <v>19</v>
      </c>
      <c r="F11" s="11">
        <v>14.4</v>
      </c>
      <c r="G11" s="11">
        <v>72</v>
      </c>
      <c r="H11" s="11">
        <v>1.44</v>
      </c>
      <c r="I11" s="11">
        <v>18</v>
      </c>
      <c r="J11" s="12" t="s">
        <v>19</v>
      </c>
      <c r="K11" s="12">
        <f t="shared" ref="K11:K16" si="0">F11*2</f>
        <v>28.8</v>
      </c>
      <c r="L11" s="12">
        <f t="shared" ref="L11:L16" si="1">G11*2</f>
        <v>144</v>
      </c>
      <c r="M11" s="13" t="s">
        <v>20</v>
      </c>
    </row>
    <row r="12" ht="23" customHeight="1" spans="1:13">
      <c r="A12" s="10" t="s">
        <v>31</v>
      </c>
      <c r="B12" s="10" t="s">
        <v>30</v>
      </c>
      <c r="C12" s="10" t="s">
        <v>24</v>
      </c>
      <c r="D12" s="10" t="s">
        <v>25</v>
      </c>
      <c r="E12" s="11" t="s">
        <v>19</v>
      </c>
      <c r="F12" s="11">
        <v>2.34</v>
      </c>
      <c r="G12" s="11">
        <v>11.7</v>
      </c>
      <c r="H12" s="11">
        <v>0.234</v>
      </c>
      <c r="I12" s="11">
        <v>2.925</v>
      </c>
      <c r="J12" s="12" t="s">
        <v>19</v>
      </c>
      <c r="K12" s="12">
        <f t="shared" si="0"/>
        <v>4.68</v>
      </c>
      <c r="L12" s="12">
        <f t="shared" si="1"/>
        <v>23.4</v>
      </c>
      <c r="M12" s="13" t="s">
        <v>20</v>
      </c>
    </row>
    <row r="13" ht="23" customHeight="1" spans="1:13">
      <c r="A13" s="10" t="s">
        <v>32</v>
      </c>
      <c r="B13" s="10" t="s">
        <v>30</v>
      </c>
      <c r="C13" s="10" t="s">
        <v>24</v>
      </c>
      <c r="D13" s="10" t="s">
        <v>25</v>
      </c>
      <c r="E13" s="11" t="s">
        <v>19</v>
      </c>
      <c r="F13" s="11">
        <v>2.88</v>
      </c>
      <c r="G13" s="11">
        <v>14.4</v>
      </c>
      <c r="H13" s="11">
        <v>0.288</v>
      </c>
      <c r="I13" s="11">
        <v>3.6</v>
      </c>
      <c r="J13" s="12" t="s">
        <v>19</v>
      </c>
      <c r="K13" s="12">
        <f t="shared" si="0"/>
        <v>5.76</v>
      </c>
      <c r="L13" s="12">
        <f t="shared" si="1"/>
        <v>28.8</v>
      </c>
      <c r="M13" s="13" t="s">
        <v>20</v>
      </c>
    </row>
    <row r="14" ht="23" customHeight="1" spans="1:13">
      <c r="A14" s="10" t="s">
        <v>33</v>
      </c>
      <c r="B14" s="10" t="s">
        <v>30</v>
      </c>
      <c r="C14" s="10" t="s">
        <v>24</v>
      </c>
      <c r="D14" s="10" t="s">
        <v>25</v>
      </c>
      <c r="E14" s="11" t="s">
        <v>19</v>
      </c>
      <c r="F14" s="11">
        <v>4.32</v>
      </c>
      <c r="G14" s="11">
        <v>21.6</v>
      </c>
      <c r="H14" s="11">
        <v>0.432</v>
      </c>
      <c r="I14" s="11">
        <v>5.4</v>
      </c>
      <c r="J14" s="12" t="s">
        <v>19</v>
      </c>
      <c r="K14" s="12">
        <f t="shared" si="0"/>
        <v>8.64</v>
      </c>
      <c r="L14" s="12">
        <f t="shared" si="1"/>
        <v>43.2</v>
      </c>
      <c r="M14" s="13" t="s">
        <v>20</v>
      </c>
    </row>
    <row r="15" ht="23" customHeight="1" spans="1:13">
      <c r="A15" s="10" t="s">
        <v>34</v>
      </c>
      <c r="B15" s="10" t="s">
        <v>16</v>
      </c>
      <c r="C15" s="10" t="s">
        <v>24</v>
      </c>
      <c r="D15" s="10" t="s">
        <v>25</v>
      </c>
      <c r="E15" s="11" t="s">
        <v>19</v>
      </c>
      <c r="F15" s="11">
        <v>0.6</v>
      </c>
      <c r="G15" s="11">
        <v>3.6</v>
      </c>
      <c r="H15" s="11">
        <v>0</v>
      </c>
      <c r="I15" s="11">
        <v>0</v>
      </c>
      <c r="J15" s="12" t="s">
        <v>19</v>
      </c>
      <c r="K15" s="12">
        <f t="shared" si="0"/>
        <v>1.2</v>
      </c>
      <c r="L15" s="12">
        <f t="shared" si="1"/>
        <v>7.2</v>
      </c>
      <c r="M15" s="13" t="s">
        <v>20</v>
      </c>
    </row>
    <row r="16" ht="23" customHeight="1" spans="1:13">
      <c r="A16" s="10" t="s">
        <v>35</v>
      </c>
      <c r="B16" s="10" t="s">
        <v>16</v>
      </c>
      <c r="C16" s="10" t="s">
        <v>24</v>
      </c>
      <c r="D16" s="10" t="s">
        <v>25</v>
      </c>
      <c r="E16" s="11" t="s">
        <v>19</v>
      </c>
      <c r="F16" s="11">
        <v>1.5</v>
      </c>
      <c r="G16" s="11">
        <v>9</v>
      </c>
      <c r="H16" s="11">
        <v>0.15</v>
      </c>
      <c r="I16" s="11">
        <v>0</v>
      </c>
      <c r="J16" s="12" t="s">
        <v>19</v>
      </c>
      <c r="K16" s="12">
        <f t="shared" si="0"/>
        <v>3</v>
      </c>
      <c r="L16" s="12">
        <f t="shared" si="1"/>
        <v>18</v>
      </c>
      <c r="M16" s="13" t="s">
        <v>20</v>
      </c>
    </row>
    <row r="17" ht="23" customHeight="1" spans="1:13">
      <c r="A17" s="10" t="s">
        <v>36</v>
      </c>
      <c r="B17" s="10" t="s">
        <v>37</v>
      </c>
      <c r="C17" s="10" t="s">
        <v>38</v>
      </c>
      <c r="D17" s="10" t="s">
        <v>18</v>
      </c>
      <c r="E17" s="11">
        <v>3.4</v>
      </c>
      <c r="F17" s="11" t="s">
        <v>19</v>
      </c>
      <c r="G17" s="11" t="s">
        <v>19</v>
      </c>
      <c r="H17" s="11" t="s">
        <v>19</v>
      </c>
      <c r="I17" s="11" t="s">
        <v>19</v>
      </c>
      <c r="J17" s="12">
        <f>E17*1.5</f>
        <v>5.1</v>
      </c>
      <c r="K17" s="12" t="s">
        <v>19</v>
      </c>
      <c r="L17" s="12" t="s">
        <v>19</v>
      </c>
      <c r="M17" s="13" t="s">
        <v>20</v>
      </c>
    </row>
    <row r="18" ht="23" customHeight="1" spans="1:13">
      <c r="A18" s="10" t="s">
        <v>39</v>
      </c>
      <c r="B18" s="10" t="s">
        <v>37</v>
      </c>
      <c r="C18" s="10" t="s">
        <v>38</v>
      </c>
      <c r="D18" s="10" t="s">
        <v>18</v>
      </c>
      <c r="E18" s="11">
        <v>4.25</v>
      </c>
      <c r="F18" s="11" t="s">
        <v>19</v>
      </c>
      <c r="G18" s="11" t="s">
        <v>19</v>
      </c>
      <c r="H18" s="11" t="s">
        <v>19</v>
      </c>
      <c r="I18" s="11" t="s">
        <v>19</v>
      </c>
      <c r="J18" s="12">
        <f>E18*1.4</f>
        <v>5.95</v>
      </c>
      <c r="K18" s="12" t="s">
        <v>19</v>
      </c>
      <c r="L18" s="12" t="s">
        <v>19</v>
      </c>
      <c r="M18" s="13" t="s">
        <v>20</v>
      </c>
    </row>
    <row r="19" ht="23" customHeight="1" spans="1:13">
      <c r="A19" s="10" t="s">
        <v>40</v>
      </c>
      <c r="B19" s="10" t="s">
        <v>41</v>
      </c>
      <c r="C19" s="10" t="s">
        <v>38</v>
      </c>
      <c r="D19" s="10" t="s">
        <v>18</v>
      </c>
      <c r="E19" s="11">
        <v>0.5</v>
      </c>
      <c r="F19" s="11" t="s">
        <v>19</v>
      </c>
      <c r="G19" s="11" t="s">
        <v>19</v>
      </c>
      <c r="H19" s="11" t="s">
        <v>19</v>
      </c>
      <c r="I19" s="11" t="s">
        <v>19</v>
      </c>
      <c r="J19" s="12">
        <f>E19*1.6</f>
        <v>0.8</v>
      </c>
      <c r="K19" s="12" t="s">
        <v>19</v>
      </c>
      <c r="L19" s="12" t="s">
        <v>19</v>
      </c>
      <c r="M19" s="13" t="s">
        <v>42</v>
      </c>
    </row>
    <row r="20" ht="23" customHeight="1" spans="1:13">
      <c r="A20" s="10" t="s">
        <v>43</v>
      </c>
      <c r="B20" s="10" t="s">
        <v>41</v>
      </c>
      <c r="C20" s="10" t="s">
        <v>38</v>
      </c>
      <c r="D20" s="10" t="s">
        <v>18</v>
      </c>
      <c r="E20" s="11">
        <v>0.5</v>
      </c>
      <c r="F20" s="11" t="s">
        <v>19</v>
      </c>
      <c r="G20" s="11" t="s">
        <v>19</v>
      </c>
      <c r="H20" s="11" t="s">
        <v>19</v>
      </c>
      <c r="I20" s="11" t="s">
        <v>19</v>
      </c>
      <c r="J20" s="12">
        <f t="shared" ref="J17:J47" si="2">E20*2</f>
        <v>1</v>
      </c>
      <c r="K20" s="12" t="s">
        <v>19</v>
      </c>
      <c r="L20" s="12" t="s">
        <v>19</v>
      </c>
      <c r="M20" s="13" t="s">
        <v>42</v>
      </c>
    </row>
    <row r="21" ht="23" customHeight="1" spans="1:13">
      <c r="A21" s="10" t="s">
        <v>44</v>
      </c>
      <c r="B21" s="10" t="s">
        <v>41</v>
      </c>
      <c r="C21" s="10" t="s">
        <v>38</v>
      </c>
      <c r="D21" s="10" t="s">
        <v>18</v>
      </c>
      <c r="E21" s="11">
        <v>0.5</v>
      </c>
      <c r="F21" s="11" t="s">
        <v>19</v>
      </c>
      <c r="G21" s="11" t="s">
        <v>19</v>
      </c>
      <c r="H21" s="11" t="s">
        <v>19</v>
      </c>
      <c r="I21" s="11" t="s">
        <v>19</v>
      </c>
      <c r="J21" s="12">
        <f>E21*1.6</f>
        <v>0.8</v>
      </c>
      <c r="K21" s="12" t="s">
        <v>19</v>
      </c>
      <c r="L21" s="12" t="s">
        <v>19</v>
      </c>
      <c r="M21" s="13" t="s">
        <v>42</v>
      </c>
    </row>
    <row r="22" ht="23" customHeight="1" spans="1:13">
      <c r="A22" s="10" t="s">
        <v>45</v>
      </c>
      <c r="B22" s="10" t="s">
        <v>41</v>
      </c>
      <c r="C22" s="10" t="s">
        <v>38</v>
      </c>
      <c r="D22" s="10" t="s">
        <v>18</v>
      </c>
      <c r="E22" s="11">
        <v>0.5</v>
      </c>
      <c r="F22" s="11" t="s">
        <v>19</v>
      </c>
      <c r="G22" s="11" t="s">
        <v>19</v>
      </c>
      <c r="H22" s="11" t="s">
        <v>19</v>
      </c>
      <c r="I22" s="11" t="s">
        <v>19</v>
      </c>
      <c r="J22" s="12">
        <f t="shared" si="2"/>
        <v>1</v>
      </c>
      <c r="K22" s="12" t="s">
        <v>19</v>
      </c>
      <c r="L22" s="12" t="s">
        <v>19</v>
      </c>
      <c r="M22" s="13" t="s">
        <v>42</v>
      </c>
    </row>
    <row r="23" ht="23" customHeight="1" spans="1:13">
      <c r="A23" s="10" t="s">
        <v>46</v>
      </c>
      <c r="B23" s="10" t="s">
        <v>47</v>
      </c>
      <c r="C23" s="10" t="s">
        <v>38</v>
      </c>
      <c r="D23" s="10" t="s">
        <v>18</v>
      </c>
      <c r="E23" s="11">
        <v>0.228</v>
      </c>
      <c r="F23" s="11" t="s">
        <v>19</v>
      </c>
      <c r="G23" s="11" t="s">
        <v>19</v>
      </c>
      <c r="H23" s="11" t="s">
        <v>19</v>
      </c>
      <c r="I23" s="11" t="s">
        <v>19</v>
      </c>
      <c r="J23" s="12">
        <f t="shared" si="2"/>
        <v>0.456</v>
      </c>
      <c r="K23" s="12" t="s">
        <v>19</v>
      </c>
      <c r="L23" s="12" t="s">
        <v>19</v>
      </c>
      <c r="M23" s="13" t="s">
        <v>20</v>
      </c>
    </row>
    <row r="24" ht="23" customHeight="1" spans="1:13">
      <c r="A24" s="10" t="s">
        <v>48</v>
      </c>
      <c r="B24" s="10" t="s">
        <v>47</v>
      </c>
      <c r="C24" s="10" t="s">
        <v>38</v>
      </c>
      <c r="D24" s="10" t="s">
        <v>18</v>
      </c>
      <c r="E24" s="11">
        <v>0.266</v>
      </c>
      <c r="F24" s="11" t="s">
        <v>19</v>
      </c>
      <c r="G24" s="11" t="s">
        <v>19</v>
      </c>
      <c r="H24" s="11" t="s">
        <v>19</v>
      </c>
      <c r="I24" s="11" t="s">
        <v>19</v>
      </c>
      <c r="J24" s="12">
        <f t="shared" si="2"/>
        <v>0.532</v>
      </c>
      <c r="K24" s="12" t="s">
        <v>19</v>
      </c>
      <c r="L24" s="12" t="s">
        <v>19</v>
      </c>
      <c r="M24" s="13" t="s">
        <v>20</v>
      </c>
    </row>
    <row r="25" ht="23" customHeight="1" spans="1:13">
      <c r="A25" s="10" t="s">
        <v>49</v>
      </c>
      <c r="B25" s="10" t="s">
        <v>47</v>
      </c>
      <c r="C25" s="10" t="s">
        <v>38</v>
      </c>
      <c r="D25" s="10" t="s">
        <v>18</v>
      </c>
      <c r="E25" s="11">
        <v>0.304</v>
      </c>
      <c r="F25" s="11" t="s">
        <v>19</v>
      </c>
      <c r="G25" s="11" t="s">
        <v>19</v>
      </c>
      <c r="H25" s="11" t="s">
        <v>19</v>
      </c>
      <c r="I25" s="11" t="s">
        <v>19</v>
      </c>
      <c r="J25" s="12">
        <f t="shared" si="2"/>
        <v>0.608</v>
      </c>
      <c r="K25" s="12" t="s">
        <v>19</v>
      </c>
      <c r="L25" s="12" t="s">
        <v>19</v>
      </c>
      <c r="M25" s="13" t="s">
        <v>20</v>
      </c>
    </row>
    <row r="26" ht="23" customHeight="1" spans="1:13">
      <c r="A26" s="10" t="s">
        <v>50</v>
      </c>
      <c r="B26" s="10" t="s">
        <v>47</v>
      </c>
      <c r="C26" s="10" t="s">
        <v>51</v>
      </c>
      <c r="D26" s="10" t="s">
        <v>18</v>
      </c>
      <c r="E26" s="11">
        <v>0.228</v>
      </c>
      <c r="F26" s="11" t="s">
        <v>19</v>
      </c>
      <c r="G26" s="11" t="s">
        <v>19</v>
      </c>
      <c r="H26" s="11" t="s">
        <v>19</v>
      </c>
      <c r="I26" s="11" t="s">
        <v>19</v>
      </c>
      <c r="J26" s="12">
        <f t="shared" si="2"/>
        <v>0.456</v>
      </c>
      <c r="K26" s="12" t="s">
        <v>19</v>
      </c>
      <c r="L26" s="12" t="s">
        <v>19</v>
      </c>
      <c r="M26" s="13" t="s">
        <v>20</v>
      </c>
    </row>
    <row r="27" ht="23" customHeight="1" spans="1:13">
      <c r="A27" s="10" t="s">
        <v>52</v>
      </c>
      <c r="B27" s="10" t="s">
        <v>47</v>
      </c>
      <c r="C27" s="10" t="s">
        <v>51</v>
      </c>
      <c r="D27" s="10" t="s">
        <v>18</v>
      </c>
      <c r="E27" s="11">
        <v>0.266</v>
      </c>
      <c r="F27" s="11" t="s">
        <v>19</v>
      </c>
      <c r="G27" s="11" t="s">
        <v>19</v>
      </c>
      <c r="H27" s="11" t="s">
        <v>19</v>
      </c>
      <c r="I27" s="11" t="s">
        <v>19</v>
      </c>
      <c r="J27" s="12">
        <f t="shared" si="2"/>
        <v>0.532</v>
      </c>
      <c r="K27" s="12" t="s">
        <v>19</v>
      </c>
      <c r="L27" s="12" t="s">
        <v>19</v>
      </c>
      <c r="M27" s="13" t="s">
        <v>20</v>
      </c>
    </row>
    <row r="28" ht="23" customHeight="1" spans="1:13">
      <c r="A28" s="10" t="s">
        <v>53</v>
      </c>
      <c r="B28" s="10" t="s">
        <v>47</v>
      </c>
      <c r="C28" s="10" t="s">
        <v>51</v>
      </c>
      <c r="D28" s="10" t="s">
        <v>18</v>
      </c>
      <c r="E28" s="11">
        <v>0.304</v>
      </c>
      <c r="F28" s="11" t="s">
        <v>19</v>
      </c>
      <c r="G28" s="11" t="s">
        <v>19</v>
      </c>
      <c r="H28" s="11" t="s">
        <v>19</v>
      </c>
      <c r="I28" s="11" t="s">
        <v>19</v>
      </c>
      <c r="J28" s="12">
        <f t="shared" si="2"/>
        <v>0.608</v>
      </c>
      <c r="K28" s="12" t="s">
        <v>19</v>
      </c>
      <c r="L28" s="12" t="s">
        <v>19</v>
      </c>
      <c r="M28" s="13" t="s">
        <v>20</v>
      </c>
    </row>
    <row r="29" ht="23" customHeight="1" spans="1:13">
      <c r="A29" s="10" t="s">
        <v>54</v>
      </c>
      <c r="B29" s="10" t="s">
        <v>47</v>
      </c>
      <c r="C29" s="10" t="s">
        <v>55</v>
      </c>
      <c r="D29" s="10" t="s">
        <v>18</v>
      </c>
      <c r="E29" s="11">
        <v>2.46</v>
      </c>
      <c r="F29" s="11" t="s">
        <v>19</v>
      </c>
      <c r="G29" s="11" t="s">
        <v>19</v>
      </c>
      <c r="H29" s="11" t="s">
        <v>19</v>
      </c>
      <c r="I29" s="11" t="s">
        <v>19</v>
      </c>
      <c r="J29" s="12">
        <f t="shared" si="2"/>
        <v>4.92</v>
      </c>
      <c r="K29" s="12" t="s">
        <v>19</v>
      </c>
      <c r="L29" s="12" t="s">
        <v>19</v>
      </c>
      <c r="M29" s="13" t="s">
        <v>20</v>
      </c>
    </row>
    <row r="30" ht="23" customHeight="1" spans="1:13">
      <c r="A30" s="10" t="s">
        <v>56</v>
      </c>
      <c r="B30" s="10" t="s">
        <v>47</v>
      </c>
      <c r="C30" s="10" t="s">
        <v>55</v>
      </c>
      <c r="D30" s="10" t="s">
        <v>18</v>
      </c>
      <c r="E30" s="11">
        <v>3.36</v>
      </c>
      <c r="F30" s="11" t="s">
        <v>19</v>
      </c>
      <c r="G30" s="11" t="s">
        <v>19</v>
      </c>
      <c r="H30" s="11" t="s">
        <v>19</v>
      </c>
      <c r="I30" s="11" t="s">
        <v>19</v>
      </c>
      <c r="J30" s="12">
        <f t="shared" si="2"/>
        <v>6.72</v>
      </c>
      <c r="K30" s="12" t="s">
        <v>19</v>
      </c>
      <c r="L30" s="12" t="s">
        <v>19</v>
      </c>
      <c r="M30" s="13" t="s">
        <v>20</v>
      </c>
    </row>
    <row r="31" ht="23" customHeight="1" spans="1:13">
      <c r="A31" s="10" t="s">
        <v>57</v>
      </c>
      <c r="B31" s="10" t="s">
        <v>47</v>
      </c>
      <c r="C31" s="10" t="s">
        <v>55</v>
      </c>
      <c r="D31" s="10" t="s">
        <v>18</v>
      </c>
      <c r="E31" s="11">
        <v>4.64</v>
      </c>
      <c r="F31" s="11" t="s">
        <v>19</v>
      </c>
      <c r="G31" s="11" t="s">
        <v>19</v>
      </c>
      <c r="H31" s="11" t="s">
        <v>19</v>
      </c>
      <c r="I31" s="11" t="s">
        <v>19</v>
      </c>
      <c r="J31" s="12">
        <f t="shared" si="2"/>
        <v>9.28</v>
      </c>
      <c r="K31" s="12" t="s">
        <v>19</v>
      </c>
      <c r="L31" s="12" t="s">
        <v>19</v>
      </c>
      <c r="M31" s="13" t="s">
        <v>20</v>
      </c>
    </row>
    <row r="32" ht="23" customHeight="1" spans="1:13">
      <c r="A32" s="10" t="s">
        <v>58</v>
      </c>
      <c r="B32" s="10" t="s">
        <v>59</v>
      </c>
      <c r="C32" s="10" t="s">
        <v>60</v>
      </c>
      <c r="D32" s="10" t="s">
        <v>18</v>
      </c>
      <c r="E32" s="11">
        <v>0.5</v>
      </c>
      <c r="F32" s="11" t="s">
        <v>19</v>
      </c>
      <c r="G32" s="11" t="s">
        <v>19</v>
      </c>
      <c r="H32" s="11" t="s">
        <v>19</v>
      </c>
      <c r="I32" s="11" t="s">
        <v>19</v>
      </c>
      <c r="J32" s="12">
        <f t="shared" si="2"/>
        <v>1</v>
      </c>
      <c r="K32" s="12" t="s">
        <v>19</v>
      </c>
      <c r="L32" s="12" t="s">
        <v>19</v>
      </c>
      <c r="M32" s="13" t="s">
        <v>20</v>
      </c>
    </row>
    <row r="33" ht="23" customHeight="1" spans="1:13">
      <c r="A33" s="10" t="s">
        <v>61</v>
      </c>
      <c r="B33" s="10" t="s">
        <v>59</v>
      </c>
      <c r="C33" s="10" t="s">
        <v>60</v>
      </c>
      <c r="D33" s="10" t="s">
        <v>18</v>
      </c>
      <c r="E33" s="11">
        <v>0.84</v>
      </c>
      <c r="F33" s="11" t="s">
        <v>19</v>
      </c>
      <c r="G33" s="11" t="s">
        <v>19</v>
      </c>
      <c r="H33" s="11" t="s">
        <v>19</v>
      </c>
      <c r="I33" s="11" t="s">
        <v>19</v>
      </c>
      <c r="J33" s="12">
        <f t="shared" si="2"/>
        <v>1.68</v>
      </c>
      <c r="K33" s="12" t="s">
        <v>19</v>
      </c>
      <c r="L33" s="12" t="s">
        <v>19</v>
      </c>
      <c r="M33" s="13" t="s">
        <v>20</v>
      </c>
    </row>
    <row r="34" ht="23" customHeight="1" spans="1:13">
      <c r="A34" s="10" t="s">
        <v>62</v>
      </c>
      <c r="B34" s="10" t="s">
        <v>59</v>
      </c>
      <c r="C34" s="10" t="s">
        <v>38</v>
      </c>
      <c r="D34" s="10" t="s">
        <v>18</v>
      </c>
      <c r="E34" s="11">
        <v>0.6</v>
      </c>
      <c r="F34" s="11" t="s">
        <v>19</v>
      </c>
      <c r="G34" s="11" t="s">
        <v>19</v>
      </c>
      <c r="H34" s="11" t="s">
        <v>19</v>
      </c>
      <c r="I34" s="11" t="s">
        <v>19</v>
      </c>
      <c r="J34" s="12">
        <f t="shared" si="2"/>
        <v>1.2</v>
      </c>
      <c r="K34" s="12" t="s">
        <v>19</v>
      </c>
      <c r="L34" s="12" t="s">
        <v>19</v>
      </c>
      <c r="M34" s="13" t="s">
        <v>20</v>
      </c>
    </row>
    <row r="35" ht="23" customHeight="1" spans="1:13">
      <c r="A35" s="10" t="s">
        <v>63</v>
      </c>
      <c r="B35" s="10" t="s">
        <v>59</v>
      </c>
      <c r="C35" s="10" t="s">
        <v>38</v>
      </c>
      <c r="D35" s="10" t="s">
        <v>18</v>
      </c>
      <c r="E35" s="11">
        <v>0.98</v>
      </c>
      <c r="F35" s="11" t="s">
        <v>19</v>
      </c>
      <c r="G35" s="11" t="s">
        <v>19</v>
      </c>
      <c r="H35" s="11" t="s">
        <v>19</v>
      </c>
      <c r="I35" s="11" t="s">
        <v>19</v>
      </c>
      <c r="J35" s="12">
        <f t="shared" si="2"/>
        <v>1.96</v>
      </c>
      <c r="K35" s="12" t="s">
        <v>19</v>
      </c>
      <c r="L35" s="12" t="s">
        <v>19</v>
      </c>
      <c r="M35" s="13" t="s">
        <v>20</v>
      </c>
    </row>
    <row r="36" ht="23" customHeight="1" spans="1:13">
      <c r="A36" s="10" t="s">
        <v>64</v>
      </c>
      <c r="B36" s="10" t="s">
        <v>59</v>
      </c>
      <c r="C36" s="10" t="s">
        <v>38</v>
      </c>
      <c r="D36" s="10" t="s">
        <v>18</v>
      </c>
      <c r="E36" s="11">
        <v>0.655</v>
      </c>
      <c r="F36" s="11" t="s">
        <v>19</v>
      </c>
      <c r="G36" s="11" t="s">
        <v>19</v>
      </c>
      <c r="H36" s="11" t="s">
        <v>19</v>
      </c>
      <c r="I36" s="11" t="s">
        <v>19</v>
      </c>
      <c r="J36" s="12">
        <f t="shared" si="2"/>
        <v>1.31</v>
      </c>
      <c r="K36" s="12" t="s">
        <v>19</v>
      </c>
      <c r="L36" s="12" t="s">
        <v>19</v>
      </c>
      <c r="M36" s="13" t="s">
        <v>20</v>
      </c>
    </row>
    <row r="37" ht="23" customHeight="1" spans="1:13">
      <c r="A37" s="10" t="s">
        <v>65</v>
      </c>
      <c r="B37" s="10" t="s">
        <v>59</v>
      </c>
      <c r="C37" s="10" t="s">
        <v>38</v>
      </c>
      <c r="D37" s="10" t="s">
        <v>18</v>
      </c>
      <c r="E37" s="11">
        <v>0.68</v>
      </c>
      <c r="F37" s="11" t="s">
        <v>19</v>
      </c>
      <c r="G37" s="11" t="s">
        <v>19</v>
      </c>
      <c r="H37" s="11" t="s">
        <v>19</v>
      </c>
      <c r="I37" s="11" t="s">
        <v>19</v>
      </c>
      <c r="J37" s="12">
        <f t="shared" si="2"/>
        <v>1.36</v>
      </c>
      <c r="K37" s="12" t="s">
        <v>19</v>
      </c>
      <c r="L37" s="12" t="s">
        <v>19</v>
      </c>
      <c r="M37" s="13" t="s">
        <v>20</v>
      </c>
    </row>
    <row r="38" ht="23" customHeight="1" spans="1:13">
      <c r="A38" s="10" t="s">
        <v>66</v>
      </c>
      <c r="B38" s="10" t="s">
        <v>59</v>
      </c>
      <c r="C38" s="10" t="s">
        <v>38</v>
      </c>
      <c r="D38" s="10" t="s">
        <v>18</v>
      </c>
      <c r="E38" s="11">
        <v>1.4</v>
      </c>
      <c r="F38" s="11" t="s">
        <v>19</v>
      </c>
      <c r="G38" s="11" t="s">
        <v>19</v>
      </c>
      <c r="H38" s="11" t="s">
        <v>19</v>
      </c>
      <c r="I38" s="11" t="s">
        <v>19</v>
      </c>
      <c r="J38" s="12">
        <f t="shared" si="2"/>
        <v>2.8</v>
      </c>
      <c r="K38" s="12" t="s">
        <v>19</v>
      </c>
      <c r="L38" s="12" t="s">
        <v>19</v>
      </c>
      <c r="M38" s="13" t="s">
        <v>20</v>
      </c>
    </row>
    <row r="39" ht="23" customHeight="1" spans="1:13">
      <c r="A39" s="10" t="s">
        <v>67</v>
      </c>
      <c r="B39" s="10" t="s">
        <v>59</v>
      </c>
      <c r="C39" s="10" t="s">
        <v>38</v>
      </c>
      <c r="D39" s="10" t="s">
        <v>18</v>
      </c>
      <c r="E39" s="11">
        <v>0.48</v>
      </c>
      <c r="F39" s="11" t="s">
        <v>19</v>
      </c>
      <c r="G39" s="11" t="s">
        <v>19</v>
      </c>
      <c r="H39" s="11" t="s">
        <v>19</v>
      </c>
      <c r="I39" s="11" t="s">
        <v>19</v>
      </c>
      <c r="J39" s="12">
        <f t="shared" si="2"/>
        <v>0.96</v>
      </c>
      <c r="K39" s="12" t="s">
        <v>19</v>
      </c>
      <c r="L39" s="12" t="s">
        <v>19</v>
      </c>
      <c r="M39" s="13" t="s">
        <v>20</v>
      </c>
    </row>
    <row r="40" ht="23" customHeight="1" spans="1:13">
      <c r="A40" s="10" t="s">
        <v>68</v>
      </c>
      <c r="B40" s="10" t="s">
        <v>59</v>
      </c>
      <c r="C40" s="10" t="s">
        <v>38</v>
      </c>
      <c r="D40" s="10" t="s">
        <v>18</v>
      </c>
      <c r="E40" s="11">
        <v>0.72</v>
      </c>
      <c r="F40" s="11" t="s">
        <v>19</v>
      </c>
      <c r="G40" s="11" t="s">
        <v>19</v>
      </c>
      <c r="H40" s="11" t="s">
        <v>19</v>
      </c>
      <c r="I40" s="11" t="s">
        <v>19</v>
      </c>
      <c r="J40" s="12">
        <f t="shared" si="2"/>
        <v>1.44</v>
      </c>
      <c r="K40" s="12" t="s">
        <v>19</v>
      </c>
      <c r="L40" s="12" t="s">
        <v>19</v>
      </c>
      <c r="M40" s="13" t="s">
        <v>20</v>
      </c>
    </row>
    <row r="41" ht="23" customHeight="1" spans="1:13">
      <c r="A41" s="10" t="s">
        <v>69</v>
      </c>
      <c r="B41" s="10" t="s">
        <v>59</v>
      </c>
      <c r="C41" s="10" t="s">
        <v>38</v>
      </c>
      <c r="D41" s="10" t="s">
        <v>18</v>
      </c>
      <c r="E41" s="11">
        <v>2.4</v>
      </c>
      <c r="F41" s="11" t="s">
        <v>19</v>
      </c>
      <c r="G41" s="11" t="s">
        <v>19</v>
      </c>
      <c r="H41" s="11" t="s">
        <v>19</v>
      </c>
      <c r="I41" s="11" t="s">
        <v>19</v>
      </c>
      <c r="J41" s="12">
        <f t="shared" si="2"/>
        <v>4.8</v>
      </c>
      <c r="K41" s="12" t="s">
        <v>19</v>
      </c>
      <c r="L41" s="12" t="s">
        <v>19</v>
      </c>
      <c r="M41" s="13" t="s">
        <v>20</v>
      </c>
    </row>
    <row r="42" ht="23" customHeight="1" spans="1:13">
      <c r="A42" s="10" t="s">
        <v>70</v>
      </c>
      <c r="B42" s="10" t="s">
        <v>59</v>
      </c>
      <c r="C42" s="10" t="s">
        <v>38</v>
      </c>
      <c r="D42" s="10" t="s">
        <v>18</v>
      </c>
      <c r="E42" s="11">
        <v>0.78</v>
      </c>
      <c r="F42" s="11" t="s">
        <v>19</v>
      </c>
      <c r="G42" s="11" t="s">
        <v>19</v>
      </c>
      <c r="H42" s="11" t="s">
        <v>19</v>
      </c>
      <c r="I42" s="11" t="s">
        <v>19</v>
      </c>
      <c r="J42" s="12">
        <f t="shared" si="2"/>
        <v>1.56</v>
      </c>
      <c r="K42" s="12" t="s">
        <v>19</v>
      </c>
      <c r="L42" s="12" t="s">
        <v>19</v>
      </c>
      <c r="M42" s="13" t="s">
        <v>20</v>
      </c>
    </row>
    <row r="43" ht="23" customHeight="1" spans="1:13">
      <c r="A43" s="10" t="s">
        <v>71</v>
      </c>
      <c r="B43" s="10" t="s">
        <v>59</v>
      </c>
      <c r="C43" s="10" t="s">
        <v>38</v>
      </c>
      <c r="D43" s="10" t="s">
        <v>18</v>
      </c>
      <c r="E43" s="11">
        <v>1.08</v>
      </c>
      <c r="F43" s="11" t="s">
        <v>19</v>
      </c>
      <c r="G43" s="11" t="s">
        <v>19</v>
      </c>
      <c r="H43" s="11" t="s">
        <v>19</v>
      </c>
      <c r="I43" s="11" t="s">
        <v>19</v>
      </c>
      <c r="J43" s="12">
        <f t="shared" si="2"/>
        <v>2.16</v>
      </c>
      <c r="K43" s="12" t="s">
        <v>19</v>
      </c>
      <c r="L43" s="12" t="s">
        <v>19</v>
      </c>
      <c r="M43" s="13" t="s">
        <v>20</v>
      </c>
    </row>
    <row r="44" ht="23" customHeight="1" spans="1:13">
      <c r="A44" s="10" t="s">
        <v>72</v>
      </c>
      <c r="B44" s="10" t="s">
        <v>59</v>
      </c>
      <c r="C44" s="10" t="s">
        <v>38</v>
      </c>
      <c r="D44" s="10" t="s">
        <v>18</v>
      </c>
      <c r="E44" s="11">
        <v>2.64</v>
      </c>
      <c r="F44" s="11" t="s">
        <v>19</v>
      </c>
      <c r="G44" s="11" t="s">
        <v>19</v>
      </c>
      <c r="H44" s="11" t="s">
        <v>19</v>
      </c>
      <c r="I44" s="11" t="s">
        <v>19</v>
      </c>
      <c r="J44" s="12">
        <f>E44*1.6</f>
        <v>4.224</v>
      </c>
      <c r="K44" s="12"/>
      <c r="L44" s="12" t="s">
        <v>19</v>
      </c>
      <c r="M44" s="13" t="s">
        <v>20</v>
      </c>
    </row>
    <row r="45" ht="23" customHeight="1" spans="1:13">
      <c r="A45" s="10" t="s">
        <v>73</v>
      </c>
      <c r="B45" s="10" t="s">
        <v>59</v>
      </c>
      <c r="C45" s="10" t="s">
        <v>38</v>
      </c>
      <c r="D45" s="10" t="s">
        <v>18</v>
      </c>
      <c r="E45" s="11">
        <v>1</v>
      </c>
      <c r="F45" s="11" t="s">
        <v>19</v>
      </c>
      <c r="G45" s="11" t="s">
        <v>19</v>
      </c>
      <c r="H45" s="11" t="s">
        <v>19</v>
      </c>
      <c r="I45" s="11" t="s">
        <v>19</v>
      </c>
      <c r="J45" s="12">
        <f t="shared" si="2"/>
        <v>2</v>
      </c>
      <c r="K45" s="12" t="s">
        <v>19</v>
      </c>
      <c r="L45" s="12" t="s">
        <v>19</v>
      </c>
      <c r="M45" s="13" t="s">
        <v>42</v>
      </c>
    </row>
    <row r="46" ht="23" customHeight="1" spans="1:13">
      <c r="A46" s="10" t="s">
        <v>74</v>
      </c>
      <c r="B46" s="10" t="s">
        <v>59</v>
      </c>
      <c r="C46" s="10" t="s">
        <v>38</v>
      </c>
      <c r="D46" s="10" t="s">
        <v>18</v>
      </c>
      <c r="E46" s="11">
        <v>1</v>
      </c>
      <c r="F46" s="11" t="s">
        <v>19</v>
      </c>
      <c r="G46" s="11" t="s">
        <v>19</v>
      </c>
      <c r="H46" s="11" t="s">
        <v>19</v>
      </c>
      <c r="I46" s="11" t="s">
        <v>19</v>
      </c>
      <c r="J46" s="12">
        <f t="shared" si="2"/>
        <v>2</v>
      </c>
      <c r="K46" s="12" t="s">
        <v>19</v>
      </c>
      <c r="L46" s="12" t="s">
        <v>19</v>
      </c>
      <c r="M46" s="13" t="s">
        <v>42</v>
      </c>
    </row>
    <row r="47" ht="23" customHeight="1" spans="1:13">
      <c r="A47" s="10" t="s">
        <v>75</v>
      </c>
      <c r="B47" s="10" t="s">
        <v>59</v>
      </c>
      <c r="C47" s="10" t="s">
        <v>38</v>
      </c>
      <c r="D47" s="10" t="s">
        <v>18</v>
      </c>
      <c r="E47" s="11">
        <v>1</v>
      </c>
      <c r="F47" s="11" t="s">
        <v>19</v>
      </c>
      <c r="G47" s="11" t="s">
        <v>19</v>
      </c>
      <c r="H47" s="11" t="s">
        <v>19</v>
      </c>
      <c r="I47" s="11" t="s">
        <v>19</v>
      </c>
      <c r="J47" s="12">
        <f t="shared" si="2"/>
        <v>2</v>
      </c>
      <c r="K47" s="12" t="s">
        <v>19</v>
      </c>
      <c r="L47" s="12" t="s">
        <v>19</v>
      </c>
      <c r="M47" s="13" t="s">
        <v>42</v>
      </c>
    </row>
  </sheetData>
  <mergeCells count="2">
    <mergeCell ref="A1:M1"/>
    <mergeCell ref="A2:M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9" defaultRowHeight="14" outlineLevelCol="5"/>
  <cols>
    <col min="1" max="1" width="18" customWidth="1"/>
    <col min="2" max="2" width="72" customWidth="1"/>
    <col min="3" max="6" width="16" customWidth="1"/>
  </cols>
  <sheetData>
    <row r="1" ht="30" customHeight="1" spans="1:6">
      <c r="A1" s="1" t="s">
        <v>76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77</v>
      </c>
      <c r="B3" s="3" t="s">
        <v>78</v>
      </c>
      <c r="C3" s="2"/>
      <c r="D3" s="2"/>
      <c r="E3" s="2"/>
      <c r="F3" s="2"/>
    </row>
    <row r="4" spans="1:6">
      <c r="A4" s="4" t="s">
        <v>79</v>
      </c>
      <c r="B4" s="5" t="s">
        <v>80</v>
      </c>
      <c r="C4" s="2"/>
      <c r="D4" s="2"/>
      <c r="E4" s="2"/>
      <c r="F4" s="2"/>
    </row>
    <row r="5" spans="1:6">
      <c r="A5" s="4" t="s">
        <v>81</v>
      </c>
      <c r="B5" s="5" t="s">
        <v>82</v>
      </c>
      <c r="C5" s="2"/>
      <c r="D5" s="2"/>
      <c r="E5" s="2"/>
      <c r="F5" s="2"/>
    </row>
    <row r="6" spans="1:6">
      <c r="A6" s="4" t="s">
        <v>83</v>
      </c>
      <c r="B6" s="5" t="s">
        <v>84</v>
      </c>
      <c r="C6" s="2"/>
      <c r="D6" s="2"/>
      <c r="E6" s="2"/>
      <c r="F6" s="2"/>
    </row>
    <row r="7" spans="1:6">
      <c r="A7" s="4" t="s">
        <v>85</v>
      </c>
      <c r="B7" s="5" t="s">
        <v>86</v>
      </c>
      <c r="C7" s="2"/>
      <c r="D7" s="2"/>
      <c r="E7" s="2"/>
      <c r="F7" s="2"/>
    </row>
    <row r="8" spans="1:6">
      <c r="A8" s="4" t="s">
        <v>87</v>
      </c>
      <c r="B8" s="5" t="s">
        <v>88</v>
      </c>
      <c r="C8" s="2"/>
      <c r="D8" s="2"/>
      <c r="E8" s="2"/>
      <c r="F8" s="2"/>
    </row>
    <row r="9" spans="1:6">
      <c r="A9" s="4" t="s">
        <v>89</v>
      </c>
      <c r="B9" s="5" t="s">
        <v>90</v>
      </c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ht="28" customHeight="1" spans="1:6">
      <c r="A11" s="6" t="s">
        <v>91</v>
      </c>
      <c r="B11" s="6"/>
      <c r="C11" s="6"/>
      <c r="D11" s="6"/>
      <c r="E11" s="6"/>
      <c r="F11" s="6"/>
    </row>
    <row r="12" ht="28" customHeight="1" spans="1:6">
      <c r="A12" s="6" t="s">
        <v>92</v>
      </c>
      <c r="B12" s="6"/>
      <c r="C12" s="6"/>
      <c r="D12" s="6"/>
      <c r="E12" s="6"/>
      <c r="F12" s="6"/>
    </row>
    <row r="13" ht="28" customHeight="1" spans="1:6">
      <c r="A13" s="6" t="s">
        <v>93</v>
      </c>
      <c r="B13" s="6"/>
      <c r="C13" s="6"/>
      <c r="D13" s="6"/>
      <c r="E13" s="6"/>
      <c r="F13" s="6"/>
    </row>
  </sheetData>
  <mergeCells count="4">
    <mergeCell ref="A1:F1"/>
    <mergeCell ref="A11:F11"/>
    <mergeCell ref="A12:F12"/>
    <mergeCell ref="A13:F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价格模板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</cp:lastModifiedBy>
  <dcterms:created xsi:type="dcterms:W3CDTF">2026-09-03T10:01:59Z</dcterms:created>
  <dcterms:modified xsi:type="dcterms:W3CDTF">2026-09-03T10:06:07Z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7A8DA8CA2A524399A0F5095C197DD114_12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